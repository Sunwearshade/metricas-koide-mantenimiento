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M - 0115\Desktop\FORMATOS\"/>
    </mc:Choice>
  </mc:AlternateContent>
  <xr:revisionPtr revIDLastSave="0" documentId="13_ncr:1_{8912FD52-4BD2-45B7-AE2B-3960ED87B800}" xr6:coauthVersionLast="47" xr6:coauthVersionMax="47" xr10:uidLastSave="{00000000-0000-0000-0000-000000000000}"/>
  <bookViews>
    <workbookView xWindow="-108" yWindow="-108" windowWidth="23256" windowHeight="12456" xr2:uid="{318C16CC-DB66-4917-8D09-D82F239692BB}"/>
  </bookViews>
  <sheets>
    <sheet name="bono por eficiencia " sheetId="1" r:id="rId1"/>
  </sheets>
  <definedNames>
    <definedName name="_xlnm.Print_Area" localSheetId="0">'bono por eficiencia '!$A$1:$T$53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" l="1"/>
  <c r="D38" i="1"/>
  <c r="N9" i="1"/>
  <c r="N38" i="1" s="1"/>
  <c r="P43" i="1"/>
  <c r="J43" i="1"/>
  <c r="H43" i="1"/>
  <c r="P42" i="1"/>
  <c r="J42" i="1"/>
  <c r="H42" i="1"/>
  <c r="P19" i="1"/>
  <c r="J19" i="1"/>
  <c r="H19" i="1"/>
  <c r="P18" i="1"/>
  <c r="J18" i="1"/>
  <c r="H18" i="1"/>
  <c r="P17" i="1"/>
  <c r="J17" i="1"/>
  <c r="H17" i="1"/>
  <c r="P16" i="1"/>
  <c r="J16" i="1"/>
  <c r="H16" i="1"/>
  <c r="P15" i="1"/>
  <c r="J15" i="1"/>
  <c r="H15" i="1"/>
  <c r="P14" i="1"/>
  <c r="J14" i="1"/>
  <c r="H14" i="1"/>
  <c r="P13" i="1"/>
  <c r="J13" i="1"/>
  <c r="H13" i="1"/>
  <c r="P9" i="1" l="1"/>
  <c r="P38" i="1" s="1"/>
</calcChain>
</file>

<file path=xl/sharedStrings.xml><?xml version="1.0" encoding="utf-8"?>
<sst xmlns="http://schemas.openxmlformats.org/spreadsheetml/2006/main" count="93" uniqueCount="49">
  <si>
    <t>DOCUMENTO</t>
  </si>
  <si>
    <t>Codigo: KMD-RH40</t>
  </si>
  <si>
    <t>PAGO DE BONOS</t>
  </si>
  <si>
    <t>Departamento: RH</t>
  </si>
  <si>
    <t>Revisión: 1</t>
  </si>
  <si>
    <t>Fecha:</t>
  </si>
  <si>
    <t>Tipo de bono</t>
  </si>
  <si>
    <t>Entidad (Planta):</t>
  </si>
  <si>
    <t>Periodo
correspondiente</t>
  </si>
  <si>
    <t xml:space="preserve">Firma de revisión
de mantenimiento </t>
  </si>
  <si>
    <t>SEMANA</t>
  </si>
  <si>
    <t>PRODUCTIVIDAD</t>
  </si>
  <si>
    <t>KOIDE ZAC</t>
  </si>
  <si>
    <t># de empleado</t>
  </si>
  <si>
    <t>Nombre</t>
  </si>
  <si>
    <t>Nivel</t>
  </si>
  <si>
    <t>MONTO BRUTO</t>
  </si>
  <si>
    <t>RESULTADO
%</t>
  </si>
  <si>
    <t>CALIFICACIÓN (OK /NG)</t>
  </si>
  <si>
    <t>RAZÓN DE NG (ACTA,REPORTE,FALTA, RETARDO)</t>
  </si>
  <si>
    <t xml:space="preserve">PEDRO ENRIQUE  ORTIZ </t>
  </si>
  <si>
    <t>A</t>
  </si>
  <si>
    <t>MARCELINO FIGUEROA GAMES</t>
  </si>
  <si>
    <t xml:space="preserve">JOSE CARLOS FLORES MENCHACA </t>
  </si>
  <si>
    <t>J. GUADALUPE ESPINOZA GARCIA</t>
  </si>
  <si>
    <t xml:space="preserve">ADRIAN VILLELA GALLEGOS </t>
  </si>
  <si>
    <t>JULISSA TRONCOSO VENEGAS</t>
  </si>
  <si>
    <t>FRANSICO JAVIER CHAVEZ OLVERA</t>
  </si>
  <si>
    <t>CRITERIO DE CERTIFICACIÓN</t>
  </si>
  <si>
    <t xml:space="preserve">Gerente de Mantenimiento </t>
  </si>
  <si>
    <t xml:space="preserve">NIVEL </t>
  </si>
  <si>
    <t>MONTO</t>
  </si>
  <si>
    <t>ZAC/QRO</t>
  </si>
  <si>
    <t>Porcentaje de eficiencia en ordenes de mtto</t>
  </si>
  <si>
    <t>Coordinador  RH</t>
  </si>
  <si>
    <t>350 MXN</t>
  </si>
  <si>
    <t>&gt;90%</t>
  </si>
  <si>
    <t>B</t>
  </si>
  <si>
    <t>250 MXN</t>
  </si>
  <si>
    <t>85% a 89.9%</t>
  </si>
  <si>
    <t>Director Administrativo</t>
  </si>
  <si>
    <t xml:space="preserve">C </t>
  </si>
  <si>
    <t>150 MXN</t>
  </si>
  <si>
    <t>80.0% a 84.9%</t>
  </si>
  <si>
    <t xml:space="preserve">EFICIENCIA </t>
  </si>
  <si>
    <t xml:space="preserve">CÉSAR ALEJANDRO LUÉVANO MEDINA </t>
  </si>
  <si>
    <t>NAYELI SARAHI SANTIBAÑEZ LÓPEZ</t>
  </si>
  <si>
    <t xml:space="preserve">Porcentaje de cumplimiento de actividades </t>
  </si>
  <si>
    <t>suspensión 06 y 07 de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</si>
</sst>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249977111117893"/>
      <name val="Calibri"/>
      <family val="2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/>
    <xf numFmtId="0" fontId="11" fillId="2" borderId="8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1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12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1" fillId="2" borderId="8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1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9" fontId="2" fillId="2" borderId="8" xfId="1" applyFont="1" applyFill="1" applyBorder="1" applyAlignment="1">
      <alignment horizontal="center" vertical="center"/>
    </xf>
    <xf numFmtId="9" fontId="2" fillId="2" borderId="10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je" xfId="1" builtinId="5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193322</xdr:colOff>
      <xdr:row>1</xdr:row>
      <xdr:rowOff>196104</xdr:rowOff>
    </xdr:from>
    <xdr:to>
      <xdr:col>3</xdr:col>
      <xdr:colOff>80479</xdr:colOff>
      <xdr:row>3</xdr:row>
      <xdr:rowOff>144308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778EF31-17B3-4BC3-8DB1-73C98DFDD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02" y="378984"/>
          <a:ext cx="1472117" cy="71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193322</xdr:colOff>
      <xdr:row>30</xdr:row>
      <xdr:rowOff>196104</xdr:rowOff>
    </xdr:from>
    <xdr:ext cx="1461957" cy="710204"/>
    <xdr:pic>
      <xdr:nvPicPr>
        <xdr:cNvPr id="3" name="Picture 2">
          <a:extLst>
            <a:ext uri="{FF2B5EF4-FFF2-40B4-BE49-F238E27FC236}">
              <a16:creationId xmlns:a16="http://schemas.microsoft.com/office/drawing/2014/main" id="{06914BF7-DFC6-4663-A594-755C9406A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802" y="11900424"/>
          <a:ext cx="1461957" cy="71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8EB1-19E5-4905-8F75-32CE13EA6D0F}">
  <sheetPr>
    <pageSetUpPr fitToPage="1"/>
  </sheetPr>
  <dimension ref="A2:T173"/>
  <sheetViews>
    <sheetView tabSelected="1" view="pageBreakPreview" topLeftCell="A16" zoomScale="60" zoomScaleNormal="83" workbookViewId="0">
      <selection activeCell="N14" sqref="N14:O14"/>
    </sheetView>
  </sheetViews>
  <sheetFormatPr baseColWidth="10" defaultRowHeight="14.4" x14ac:dyDescent="0.3"/>
  <cols>
    <col min="7" max="7" width="13.44140625" customWidth="1"/>
    <col min="15" max="15" width="13.44140625" customWidth="1"/>
  </cols>
  <sheetData>
    <row r="2" spans="2:19" ht="30" customHeight="1" x14ac:dyDescent="0.35">
      <c r="B2" s="84"/>
      <c r="C2" s="84"/>
      <c r="D2" s="84"/>
      <c r="E2" s="84"/>
      <c r="F2" s="84"/>
      <c r="G2" s="81" t="s">
        <v>0</v>
      </c>
      <c r="H2" s="81"/>
      <c r="I2" s="81"/>
      <c r="J2" s="81"/>
      <c r="K2" s="81"/>
      <c r="L2" s="81"/>
      <c r="M2" s="81"/>
      <c r="N2" s="81"/>
      <c r="O2" s="81"/>
      <c r="P2" s="81"/>
      <c r="Q2" s="81" t="s">
        <v>1</v>
      </c>
      <c r="R2" s="81"/>
      <c r="S2" s="81"/>
    </row>
    <row r="3" spans="2:19" ht="30" customHeight="1" x14ac:dyDescent="0.35">
      <c r="B3" s="84"/>
      <c r="C3" s="84"/>
      <c r="D3" s="84"/>
      <c r="E3" s="84"/>
      <c r="F3" s="84"/>
      <c r="G3" s="81" t="s">
        <v>2</v>
      </c>
      <c r="H3" s="81"/>
      <c r="I3" s="81"/>
      <c r="J3" s="81"/>
      <c r="K3" s="81"/>
      <c r="L3" s="81"/>
      <c r="M3" s="81"/>
      <c r="N3" s="81"/>
      <c r="O3" s="81"/>
      <c r="P3" s="81"/>
      <c r="Q3" s="81" t="s">
        <v>3</v>
      </c>
      <c r="R3" s="81"/>
      <c r="S3" s="81"/>
    </row>
    <row r="4" spans="2:19" ht="30" customHeight="1" x14ac:dyDescent="0.35">
      <c r="B4" s="84"/>
      <c r="C4" s="84"/>
      <c r="D4" s="84"/>
      <c r="E4" s="84"/>
      <c r="F4" s="84"/>
      <c r="G4" s="81"/>
      <c r="H4" s="81"/>
      <c r="I4" s="81"/>
      <c r="J4" s="81"/>
      <c r="K4" s="81"/>
      <c r="L4" s="81"/>
      <c r="M4" s="81"/>
      <c r="N4" s="81"/>
      <c r="O4" s="81"/>
      <c r="P4" s="81"/>
      <c r="Q4" s="81" t="s">
        <v>4</v>
      </c>
      <c r="R4" s="81"/>
      <c r="S4" s="81"/>
    </row>
    <row r="5" spans="2:19" ht="30" customHeight="1" x14ac:dyDescent="0.3">
      <c r="B5" s="82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spans="2:19" ht="30" customHeight="1" x14ac:dyDescent="0.3"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</row>
    <row r="7" spans="2:19" ht="30" customHeight="1" x14ac:dyDescent="0.3">
      <c r="B7" s="69" t="s">
        <v>5</v>
      </c>
      <c r="C7" s="71"/>
      <c r="D7" s="64">
        <v>46244</v>
      </c>
      <c r="E7" s="71"/>
      <c r="F7" s="68" t="s">
        <v>6</v>
      </c>
      <c r="G7" s="68"/>
      <c r="H7" s="68"/>
      <c r="I7" s="68"/>
      <c r="J7" s="68" t="s">
        <v>7</v>
      </c>
      <c r="K7" s="68"/>
      <c r="L7" s="68"/>
      <c r="M7" s="68"/>
      <c r="N7" s="63" t="s">
        <v>8</v>
      </c>
      <c r="O7" s="63"/>
      <c r="P7" s="63"/>
      <c r="Q7" s="63"/>
      <c r="R7" s="63" t="s">
        <v>9</v>
      </c>
      <c r="S7" s="63"/>
    </row>
    <row r="8" spans="2:19" ht="30" customHeight="1" x14ac:dyDescent="0.3">
      <c r="B8" s="72"/>
      <c r="C8" s="74"/>
      <c r="D8" s="72"/>
      <c r="E8" s="74"/>
      <c r="F8" s="68"/>
      <c r="G8" s="68"/>
      <c r="H8" s="68"/>
      <c r="I8" s="68"/>
      <c r="J8" s="68"/>
      <c r="K8" s="68"/>
      <c r="L8" s="68"/>
      <c r="M8" s="68"/>
      <c r="N8" s="63"/>
      <c r="O8" s="63"/>
      <c r="P8" s="63"/>
      <c r="Q8" s="63"/>
      <c r="R8" s="63"/>
      <c r="S8" s="63"/>
    </row>
    <row r="9" spans="2:19" ht="30" customHeight="1" x14ac:dyDescent="0.3">
      <c r="B9" s="64" t="s">
        <v>10</v>
      </c>
      <c r="C9" s="65"/>
      <c r="D9" s="68">
        <v>32</v>
      </c>
      <c r="E9" s="68"/>
      <c r="F9" s="69" t="s">
        <v>11</v>
      </c>
      <c r="G9" s="70"/>
      <c r="H9" s="70"/>
      <c r="I9" s="71"/>
      <c r="J9" s="69" t="s">
        <v>12</v>
      </c>
      <c r="K9" s="70"/>
      <c r="L9" s="70"/>
      <c r="M9" s="71"/>
      <c r="N9" s="75">
        <f>D7-7</f>
        <v>46237</v>
      </c>
      <c r="O9" s="76"/>
      <c r="P9" s="77">
        <f>N9+6</f>
        <v>46243</v>
      </c>
      <c r="Q9" s="78"/>
      <c r="R9" s="68"/>
      <c r="S9" s="68"/>
    </row>
    <row r="10" spans="2:19" ht="30" customHeight="1" x14ac:dyDescent="0.3">
      <c r="B10" s="66"/>
      <c r="C10" s="67"/>
      <c r="D10" s="68"/>
      <c r="E10" s="68"/>
      <c r="F10" s="72"/>
      <c r="G10" s="73"/>
      <c r="H10" s="73"/>
      <c r="I10" s="74"/>
      <c r="J10" s="72"/>
      <c r="K10" s="73"/>
      <c r="L10" s="73"/>
      <c r="M10" s="74"/>
      <c r="N10" s="76"/>
      <c r="O10" s="76"/>
      <c r="P10" s="79"/>
      <c r="Q10" s="80"/>
      <c r="R10" s="68"/>
      <c r="S10" s="68"/>
    </row>
    <row r="11" spans="2:19" ht="30" customHeight="1" x14ac:dyDescent="0.3">
      <c r="B11" s="54" t="s">
        <v>13</v>
      </c>
      <c r="C11" s="54"/>
      <c r="D11" s="55" t="s">
        <v>14</v>
      </c>
      <c r="E11" s="55"/>
      <c r="F11" s="55"/>
      <c r="G11" s="55"/>
      <c r="H11" s="55" t="s">
        <v>15</v>
      </c>
      <c r="I11" s="55"/>
      <c r="J11" s="56" t="s">
        <v>16</v>
      </c>
      <c r="K11" s="57"/>
      <c r="L11" s="57"/>
      <c r="M11" s="58"/>
      <c r="N11" s="54" t="s">
        <v>17</v>
      </c>
      <c r="O11" s="54"/>
      <c r="P11" s="62" t="s">
        <v>18</v>
      </c>
      <c r="Q11" s="62"/>
      <c r="R11" s="48" t="s">
        <v>19</v>
      </c>
      <c r="S11" s="49"/>
    </row>
    <row r="12" spans="2:19" ht="30" customHeight="1" x14ac:dyDescent="0.3">
      <c r="B12" s="54"/>
      <c r="C12" s="54"/>
      <c r="D12" s="55"/>
      <c r="E12" s="55"/>
      <c r="F12" s="55"/>
      <c r="G12" s="55"/>
      <c r="H12" s="55"/>
      <c r="I12" s="55"/>
      <c r="J12" s="59"/>
      <c r="K12" s="60"/>
      <c r="L12" s="60"/>
      <c r="M12" s="61"/>
      <c r="N12" s="54"/>
      <c r="O12" s="54"/>
      <c r="P12" s="62"/>
      <c r="Q12" s="62"/>
      <c r="R12" s="50"/>
      <c r="S12" s="51"/>
    </row>
    <row r="13" spans="2:19" ht="30" customHeight="1" x14ac:dyDescent="0.3">
      <c r="B13" s="2">
        <v>1382</v>
      </c>
      <c r="C13" s="3"/>
      <c r="D13" s="38" t="s">
        <v>20</v>
      </c>
      <c r="E13" s="39"/>
      <c r="F13" s="39"/>
      <c r="G13" s="40"/>
      <c r="H13" s="41" t="str">
        <f t="shared" ref="H13:H19" si="0">IF(N13&gt;=90%,"A",IF(N13&gt;=85%,"B", IF(N13&gt;=80%,"C","/")))</f>
        <v>/</v>
      </c>
      <c r="I13" s="42"/>
      <c r="J13" s="41" t="str">
        <f t="shared" ref="J13:J19" si="1">IF(N13&gt;=90%,"350",IF(N13&gt;=85%,"250",IF(N13&gt;=80%,"150","/")))</f>
        <v>/</v>
      </c>
      <c r="K13" s="43"/>
      <c r="L13" s="43" t="s">
        <v>21</v>
      </c>
      <c r="M13" s="42"/>
      <c r="N13" s="44">
        <v>0.45</v>
      </c>
      <c r="O13" s="45"/>
      <c r="P13" s="46" t="str">
        <f t="shared" ref="P13:P19" si="2">IF(N13&gt;=80%, "OK", "NG")</f>
        <v>NG</v>
      </c>
      <c r="Q13" s="47"/>
      <c r="R13" s="52" t="s">
        <v>48</v>
      </c>
      <c r="S13" s="53"/>
    </row>
    <row r="14" spans="2:19" ht="30" customHeight="1" x14ac:dyDescent="0.3">
      <c r="B14" s="7">
        <v>1377</v>
      </c>
      <c r="C14" s="8"/>
      <c r="D14" s="38" t="s">
        <v>22</v>
      </c>
      <c r="E14" s="39"/>
      <c r="F14" s="39"/>
      <c r="G14" s="40"/>
      <c r="H14" s="41" t="str">
        <f t="shared" si="0"/>
        <v>A</v>
      </c>
      <c r="I14" s="42"/>
      <c r="J14" s="41" t="str">
        <f t="shared" si="1"/>
        <v>350</v>
      </c>
      <c r="K14" s="43"/>
      <c r="L14" s="43" t="s">
        <v>21</v>
      </c>
      <c r="M14" s="42"/>
      <c r="N14" s="44">
        <v>0.9</v>
      </c>
      <c r="O14" s="45"/>
      <c r="P14" s="46" t="str">
        <f t="shared" si="2"/>
        <v>OK</v>
      </c>
      <c r="Q14" s="47"/>
      <c r="R14" s="52"/>
      <c r="S14" s="53"/>
    </row>
    <row r="15" spans="2:19" ht="30" customHeight="1" x14ac:dyDescent="0.3">
      <c r="B15" s="2">
        <v>771</v>
      </c>
      <c r="C15" s="3"/>
      <c r="D15" s="38" t="s">
        <v>23</v>
      </c>
      <c r="E15" s="39"/>
      <c r="F15" s="39"/>
      <c r="G15" s="40"/>
      <c r="H15" s="41" t="str">
        <f t="shared" si="0"/>
        <v>A</v>
      </c>
      <c r="I15" s="42"/>
      <c r="J15" s="41" t="str">
        <f t="shared" si="1"/>
        <v>350</v>
      </c>
      <c r="K15" s="43"/>
      <c r="L15" s="43" t="s">
        <v>21</v>
      </c>
      <c r="M15" s="42"/>
      <c r="N15" s="44">
        <v>0.9</v>
      </c>
      <c r="O15" s="45"/>
      <c r="P15" s="46" t="str">
        <f t="shared" si="2"/>
        <v>OK</v>
      </c>
      <c r="Q15" s="47"/>
      <c r="R15" s="52"/>
      <c r="S15" s="53"/>
    </row>
    <row r="16" spans="2:19" ht="30" customHeight="1" x14ac:dyDescent="0.3">
      <c r="B16" s="9">
        <v>1979</v>
      </c>
      <c r="C16" s="3"/>
      <c r="D16" s="4" t="s">
        <v>24</v>
      </c>
      <c r="E16" s="5"/>
      <c r="F16" s="5"/>
      <c r="G16" s="6"/>
      <c r="H16" s="41" t="str">
        <f t="shared" si="0"/>
        <v>A</v>
      </c>
      <c r="I16" s="42"/>
      <c r="J16" s="41" t="str">
        <f t="shared" si="1"/>
        <v>350</v>
      </c>
      <c r="K16" s="43"/>
      <c r="L16" s="43" t="s">
        <v>21</v>
      </c>
      <c r="M16" s="42"/>
      <c r="N16" s="44">
        <v>0.9</v>
      </c>
      <c r="O16" s="45"/>
      <c r="P16" s="46" t="str">
        <f t="shared" si="2"/>
        <v>OK</v>
      </c>
      <c r="Q16" s="47"/>
      <c r="R16" s="52"/>
      <c r="S16" s="53"/>
    </row>
    <row r="17" spans="2:19" ht="30" customHeight="1" x14ac:dyDescent="0.3">
      <c r="B17" s="9">
        <v>2000</v>
      </c>
      <c r="C17" s="3"/>
      <c r="D17" s="4" t="s">
        <v>25</v>
      </c>
      <c r="E17" s="5"/>
      <c r="F17" s="5"/>
      <c r="G17" s="6"/>
      <c r="H17" s="41" t="str">
        <f t="shared" si="0"/>
        <v>A</v>
      </c>
      <c r="I17" s="42"/>
      <c r="J17" s="41" t="str">
        <f t="shared" si="1"/>
        <v>350</v>
      </c>
      <c r="K17" s="43"/>
      <c r="L17" s="43" t="s">
        <v>21</v>
      </c>
      <c r="M17" s="42"/>
      <c r="N17" s="44">
        <v>0.9</v>
      </c>
      <c r="O17" s="45"/>
      <c r="P17" s="46" t="str">
        <f t="shared" si="2"/>
        <v>OK</v>
      </c>
      <c r="Q17" s="47"/>
      <c r="R17" s="52"/>
      <c r="S17" s="53"/>
    </row>
    <row r="18" spans="2:19" ht="30" customHeight="1" x14ac:dyDescent="0.3">
      <c r="B18" s="9">
        <v>1982</v>
      </c>
      <c r="C18" s="3"/>
      <c r="D18" s="4" t="s">
        <v>26</v>
      </c>
      <c r="E18" s="5"/>
      <c r="F18" s="5"/>
      <c r="G18" s="6"/>
      <c r="H18" s="41" t="str">
        <f t="shared" si="0"/>
        <v>A</v>
      </c>
      <c r="I18" s="42"/>
      <c r="J18" s="41" t="str">
        <f t="shared" si="1"/>
        <v>350</v>
      </c>
      <c r="K18" s="43"/>
      <c r="L18" s="43" t="s">
        <v>21</v>
      </c>
      <c r="M18" s="42"/>
      <c r="N18" s="44">
        <v>0.9</v>
      </c>
      <c r="O18" s="45"/>
      <c r="P18" s="46" t="str">
        <f t="shared" si="2"/>
        <v>OK</v>
      </c>
      <c r="Q18" s="47"/>
      <c r="R18" s="52"/>
      <c r="S18" s="53"/>
    </row>
    <row r="19" spans="2:19" ht="30" customHeight="1" x14ac:dyDescent="0.3">
      <c r="B19" s="9">
        <v>1993</v>
      </c>
      <c r="C19" s="8"/>
      <c r="D19" s="4" t="s">
        <v>27</v>
      </c>
      <c r="E19" s="5"/>
      <c r="F19" s="5"/>
      <c r="G19" s="6"/>
      <c r="H19" s="41" t="str">
        <f t="shared" si="0"/>
        <v>A</v>
      </c>
      <c r="I19" s="42"/>
      <c r="J19" s="41" t="str">
        <f t="shared" si="1"/>
        <v>350</v>
      </c>
      <c r="K19" s="43"/>
      <c r="L19" s="43" t="s">
        <v>21</v>
      </c>
      <c r="M19" s="42"/>
      <c r="N19" s="44">
        <v>0.9</v>
      </c>
      <c r="O19" s="45"/>
      <c r="P19" s="46" t="str">
        <f t="shared" si="2"/>
        <v>OK</v>
      </c>
      <c r="Q19" s="47"/>
      <c r="R19" s="52"/>
      <c r="S19" s="53"/>
    </row>
    <row r="20" spans="2:19" ht="30" customHeight="1" x14ac:dyDescent="0.3"/>
    <row r="21" spans="2:19" ht="30" customHeight="1" x14ac:dyDescent="0.3">
      <c r="B21" s="10"/>
      <c r="C21" s="10"/>
      <c r="D21" s="10"/>
      <c r="E21" s="10"/>
      <c r="F21" s="10"/>
      <c r="G21" s="10"/>
      <c r="H21" s="10"/>
      <c r="I21" s="10"/>
      <c r="J21" s="11"/>
      <c r="K21" s="11"/>
      <c r="L21" s="11"/>
      <c r="M21" s="11"/>
      <c r="N21" s="11"/>
      <c r="O21" s="11"/>
      <c r="P21" s="11"/>
      <c r="Q21" s="11"/>
      <c r="R21" s="12"/>
      <c r="S21" s="12"/>
    </row>
    <row r="22" spans="2:19" ht="30" customHeight="1" x14ac:dyDescent="0.3">
      <c r="B22" s="20" t="s">
        <v>28</v>
      </c>
      <c r="C22" s="21"/>
      <c r="D22" s="21"/>
      <c r="E22" s="21"/>
      <c r="F22" s="21"/>
      <c r="G22" s="21"/>
      <c r="H22" s="21"/>
      <c r="I22" s="22"/>
    </row>
    <row r="23" spans="2:19" ht="30" customHeight="1" x14ac:dyDescent="0.3">
      <c r="B23" s="23"/>
      <c r="C23" s="24"/>
      <c r="D23" s="24"/>
      <c r="E23" s="24"/>
      <c r="F23" s="24"/>
      <c r="G23" s="24"/>
      <c r="H23" s="24"/>
      <c r="I23" s="25"/>
      <c r="K23" t="s">
        <v>29</v>
      </c>
      <c r="O23" s="13"/>
      <c r="P23" s="13"/>
      <c r="Q23" s="13"/>
      <c r="R23" s="13"/>
      <c r="S23" s="13"/>
    </row>
    <row r="24" spans="2:19" ht="30" customHeight="1" x14ac:dyDescent="0.3">
      <c r="B24" s="26" t="s">
        <v>30</v>
      </c>
      <c r="C24" s="28" t="s">
        <v>31</v>
      </c>
      <c r="D24" s="29"/>
      <c r="E24" s="32" t="s">
        <v>32</v>
      </c>
      <c r="F24" s="33"/>
      <c r="G24" s="33"/>
      <c r="H24" s="33"/>
      <c r="I24" s="34"/>
    </row>
    <row r="25" spans="2:19" ht="30" customHeight="1" x14ac:dyDescent="0.35">
      <c r="B25" s="27"/>
      <c r="C25" s="30"/>
      <c r="D25" s="31"/>
      <c r="E25" s="35" t="s">
        <v>33</v>
      </c>
      <c r="F25" s="36"/>
      <c r="G25" s="36"/>
      <c r="H25" s="36"/>
      <c r="I25" s="37"/>
      <c r="K25" t="s">
        <v>34</v>
      </c>
      <c r="O25" s="13"/>
      <c r="P25" s="13"/>
      <c r="Q25" s="13"/>
      <c r="R25" s="13"/>
      <c r="S25" s="13"/>
    </row>
    <row r="26" spans="2:19" ht="30" customHeight="1" x14ac:dyDescent="0.3">
      <c r="B26" s="14" t="s">
        <v>21</v>
      </c>
      <c r="C26" s="16" t="s">
        <v>35</v>
      </c>
      <c r="D26" s="17"/>
      <c r="E26" s="18" t="s">
        <v>36</v>
      </c>
      <c r="F26" s="18"/>
      <c r="G26" s="18"/>
      <c r="H26" s="18"/>
      <c r="I26" s="18"/>
    </row>
    <row r="27" spans="2:19" ht="37.5" customHeight="1" x14ac:dyDescent="0.35">
      <c r="B27" s="1" t="s">
        <v>37</v>
      </c>
      <c r="C27" s="16" t="s">
        <v>38</v>
      </c>
      <c r="D27" s="17"/>
      <c r="E27" s="18" t="s">
        <v>39</v>
      </c>
      <c r="F27" s="18"/>
      <c r="G27" s="18"/>
      <c r="H27" s="18"/>
      <c r="I27" s="18"/>
      <c r="K27" t="s">
        <v>40</v>
      </c>
      <c r="O27" s="13"/>
      <c r="P27" s="13"/>
      <c r="Q27" s="13"/>
      <c r="R27" s="13"/>
      <c r="S27" s="13"/>
    </row>
    <row r="28" spans="2:19" ht="30" customHeight="1" x14ac:dyDescent="0.3">
      <c r="B28" s="14" t="s">
        <v>41</v>
      </c>
      <c r="C28" s="16" t="s">
        <v>42</v>
      </c>
      <c r="D28" s="17"/>
      <c r="E28" s="18" t="s">
        <v>43</v>
      </c>
      <c r="F28" s="18"/>
      <c r="G28" s="18"/>
      <c r="H28" s="18"/>
      <c r="I28" s="18"/>
    </row>
    <row r="29" spans="2:19" ht="30" customHeight="1" x14ac:dyDescent="0.3"/>
    <row r="30" spans="2:19" ht="30" customHeight="1" x14ac:dyDescent="0.3"/>
    <row r="31" spans="2:19" ht="30" customHeight="1" x14ac:dyDescent="0.35">
      <c r="B31" s="84"/>
      <c r="C31" s="84"/>
      <c r="D31" s="84"/>
      <c r="E31" s="84"/>
      <c r="F31" s="84"/>
      <c r="G31" s="81" t="s">
        <v>0</v>
      </c>
      <c r="H31" s="81"/>
      <c r="I31" s="81"/>
      <c r="J31" s="81"/>
      <c r="K31" s="81"/>
      <c r="L31" s="81"/>
      <c r="M31" s="81"/>
      <c r="N31" s="81"/>
      <c r="O31" s="81"/>
      <c r="P31" s="81"/>
      <c r="Q31" s="81" t="s">
        <v>1</v>
      </c>
      <c r="R31" s="81"/>
      <c r="S31" s="81"/>
    </row>
    <row r="32" spans="2:19" ht="30" customHeight="1" x14ac:dyDescent="0.35">
      <c r="B32" s="84"/>
      <c r="C32" s="84"/>
      <c r="D32" s="84"/>
      <c r="E32" s="84"/>
      <c r="F32" s="84"/>
      <c r="G32" s="81" t="s">
        <v>2</v>
      </c>
      <c r="H32" s="81"/>
      <c r="I32" s="81"/>
      <c r="J32" s="81"/>
      <c r="K32" s="81"/>
      <c r="L32" s="81"/>
      <c r="M32" s="81"/>
      <c r="N32" s="81"/>
      <c r="O32" s="81"/>
      <c r="P32" s="81"/>
      <c r="Q32" s="81" t="s">
        <v>3</v>
      </c>
      <c r="R32" s="81"/>
      <c r="S32" s="81"/>
    </row>
    <row r="33" spans="2:19" ht="30" customHeight="1" x14ac:dyDescent="0.35">
      <c r="B33" s="84"/>
      <c r="C33" s="84"/>
      <c r="D33" s="84"/>
      <c r="E33" s="84"/>
      <c r="F33" s="84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 t="s">
        <v>4</v>
      </c>
      <c r="R33" s="81"/>
      <c r="S33" s="81"/>
    </row>
    <row r="34" spans="2:19" ht="30" customHeight="1" x14ac:dyDescent="0.3"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</row>
    <row r="35" spans="2:19" ht="30" customHeight="1" x14ac:dyDescent="0.3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</row>
    <row r="36" spans="2:19" ht="30" customHeight="1" x14ac:dyDescent="0.3">
      <c r="B36" s="69" t="s">
        <v>5</v>
      </c>
      <c r="C36" s="71"/>
      <c r="D36" s="64">
        <f>D7</f>
        <v>46244</v>
      </c>
      <c r="E36" s="71"/>
      <c r="F36" s="68" t="s">
        <v>6</v>
      </c>
      <c r="G36" s="68"/>
      <c r="H36" s="68"/>
      <c r="I36" s="68"/>
      <c r="J36" s="68" t="s">
        <v>7</v>
      </c>
      <c r="K36" s="68"/>
      <c r="L36" s="68"/>
      <c r="M36" s="68"/>
      <c r="N36" s="63" t="s">
        <v>8</v>
      </c>
      <c r="O36" s="63"/>
      <c r="P36" s="63"/>
      <c r="Q36" s="63"/>
      <c r="R36" s="63" t="s">
        <v>9</v>
      </c>
      <c r="S36" s="63"/>
    </row>
    <row r="37" spans="2:19" ht="30" customHeight="1" x14ac:dyDescent="0.3">
      <c r="B37" s="72"/>
      <c r="C37" s="74"/>
      <c r="D37" s="72"/>
      <c r="E37" s="74"/>
      <c r="F37" s="68"/>
      <c r="G37" s="68"/>
      <c r="H37" s="68"/>
      <c r="I37" s="68"/>
      <c r="J37" s="68"/>
      <c r="K37" s="68"/>
      <c r="L37" s="68"/>
      <c r="M37" s="68"/>
      <c r="N37" s="63"/>
      <c r="O37" s="63"/>
      <c r="P37" s="63"/>
      <c r="Q37" s="63"/>
      <c r="R37" s="63"/>
      <c r="S37" s="63"/>
    </row>
    <row r="38" spans="2:19" ht="30" customHeight="1" x14ac:dyDescent="0.3">
      <c r="B38" s="64" t="s">
        <v>10</v>
      </c>
      <c r="C38" s="65"/>
      <c r="D38" s="68">
        <f>D9</f>
        <v>32</v>
      </c>
      <c r="E38" s="68"/>
      <c r="F38" s="69" t="s">
        <v>44</v>
      </c>
      <c r="G38" s="70"/>
      <c r="H38" s="70"/>
      <c r="I38" s="71"/>
      <c r="J38" s="69" t="s">
        <v>12</v>
      </c>
      <c r="K38" s="70"/>
      <c r="L38" s="70"/>
      <c r="M38" s="71"/>
      <c r="N38" s="75">
        <f>N9</f>
        <v>46237</v>
      </c>
      <c r="O38" s="76"/>
      <c r="P38" s="77">
        <f>P9</f>
        <v>46243</v>
      </c>
      <c r="Q38" s="78"/>
      <c r="R38" s="68"/>
      <c r="S38" s="68"/>
    </row>
    <row r="39" spans="2:19" ht="30" customHeight="1" x14ac:dyDescent="0.3">
      <c r="B39" s="66"/>
      <c r="C39" s="67"/>
      <c r="D39" s="68"/>
      <c r="E39" s="68"/>
      <c r="F39" s="72"/>
      <c r="G39" s="73"/>
      <c r="H39" s="73"/>
      <c r="I39" s="74"/>
      <c r="J39" s="72"/>
      <c r="K39" s="73"/>
      <c r="L39" s="73"/>
      <c r="M39" s="74"/>
      <c r="N39" s="76"/>
      <c r="O39" s="76"/>
      <c r="P39" s="79"/>
      <c r="Q39" s="80"/>
      <c r="R39" s="68"/>
      <c r="S39" s="68"/>
    </row>
    <row r="40" spans="2:19" ht="30" customHeight="1" x14ac:dyDescent="0.3">
      <c r="B40" s="54" t="s">
        <v>13</v>
      </c>
      <c r="C40" s="54"/>
      <c r="D40" s="55" t="s">
        <v>14</v>
      </c>
      <c r="E40" s="55"/>
      <c r="F40" s="55"/>
      <c r="G40" s="55"/>
      <c r="H40" s="55" t="s">
        <v>15</v>
      </c>
      <c r="I40" s="55"/>
      <c r="J40" s="56" t="s">
        <v>16</v>
      </c>
      <c r="K40" s="57"/>
      <c r="L40" s="57"/>
      <c r="M40" s="58"/>
      <c r="N40" s="54" t="s">
        <v>17</v>
      </c>
      <c r="O40" s="54"/>
      <c r="P40" s="62" t="s">
        <v>18</v>
      </c>
      <c r="Q40" s="62"/>
      <c r="R40" s="48" t="s">
        <v>19</v>
      </c>
      <c r="S40" s="49"/>
    </row>
    <row r="41" spans="2:19" ht="30" customHeight="1" x14ac:dyDescent="0.3">
      <c r="B41" s="54"/>
      <c r="C41" s="54"/>
      <c r="D41" s="55"/>
      <c r="E41" s="55"/>
      <c r="F41" s="55"/>
      <c r="G41" s="55"/>
      <c r="H41" s="55"/>
      <c r="I41" s="55"/>
      <c r="J41" s="59"/>
      <c r="K41" s="60"/>
      <c r="L41" s="60"/>
      <c r="M41" s="61"/>
      <c r="N41" s="54"/>
      <c r="O41" s="54"/>
      <c r="P41" s="62"/>
      <c r="Q41" s="62"/>
      <c r="R41" s="50"/>
      <c r="S41" s="51"/>
    </row>
    <row r="42" spans="2:19" ht="30" customHeight="1" x14ac:dyDescent="0.3">
      <c r="B42" s="2">
        <v>1889</v>
      </c>
      <c r="C42" s="3"/>
      <c r="D42" s="38" t="s">
        <v>45</v>
      </c>
      <c r="E42" s="39"/>
      <c r="F42" s="39"/>
      <c r="G42" s="40"/>
      <c r="H42" s="41" t="str">
        <f>IF(N42&gt;=90%,"A",IF(N42&gt;=85%,"B", IF(N42&gt;=80%,"C","/")))</f>
        <v>B</v>
      </c>
      <c r="I42" s="42"/>
      <c r="J42" s="41" t="str">
        <f>IF(N42&gt;=90%,"350",IF(N42&gt;=85%,"250",IF(N42&gt;=80%,"150","/")))</f>
        <v>250</v>
      </c>
      <c r="K42" s="43"/>
      <c r="L42" s="43" t="s">
        <v>21</v>
      </c>
      <c r="M42" s="42"/>
      <c r="N42" s="44">
        <v>0.85</v>
      </c>
      <c r="O42" s="45"/>
      <c r="P42" s="46" t="str">
        <f>IF(N42&gt;=80%, "OK", "NG")</f>
        <v>OK</v>
      </c>
      <c r="Q42" s="47"/>
      <c r="R42" s="52"/>
      <c r="S42" s="53"/>
    </row>
    <row r="43" spans="2:19" ht="30" customHeight="1" x14ac:dyDescent="0.3">
      <c r="B43" s="2">
        <v>1918</v>
      </c>
      <c r="C43" s="3"/>
      <c r="D43" s="38" t="s">
        <v>46</v>
      </c>
      <c r="E43" s="39"/>
      <c r="F43" s="39"/>
      <c r="G43" s="40"/>
      <c r="H43" s="41" t="str">
        <f t="shared" ref="H43" si="3">IF(N43&gt;=90%,"A",IF(N43&gt;=85%,"B", IF(N43&gt;=80%,"C","/")))</f>
        <v>A</v>
      </c>
      <c r="I43" s="42"/>
      <c r="J43" s="41" t="str">
        <f>IF(N43&gt;=90%,"350",IF(N43&gt;=85%,"250",IF(N43&gt;=80%,"150","/")))</f>
        <v>350</v>
      </c>
      <c r="K43" s="43"/>
      <c r="L43" s="43" t="s">
        <v>21</v>
      </c>
      <c r="M43" s="42"/>
      <c r="N43" s="44">
        <v>0.9</v>
      </c>
      <c r="O43" s="45"/>
      <c r="P43" s="46" t="str">
        <f>IF(N43&gt;=80%, "OK", "NG")</f>
        <v>OK</v>
      </c>
      <c r="Q43" s="47"/>
      <c r="R43" s="48"/>
      <c r="S43" s="49"/>
    </row>
    <row r="44" spans="2:19" ht="30" customHeight="1" x14ac:dyDescent="0.3">
      <c r="R44" s="19"/>
      <c r="S44" s="19"/>
    </row>
    <row r="45" spans="2:19" ht="30" customHeight="1" x14ac:dyDescent="0.3">
      <c r="B45" s="10"/>
      <c r="C45" s="10"/>
      <c r="D45" s="10"/>
      <c r="E45" s="10"/>
      <c r="F45" s="10"/>
      <c r="G45" s="10"/>
      <c r="H45" s="10"/>
      <c r="I45" s="10"/>
      <c r="J45" s="11"/>
      <c r="K45" s="11"/>
      <c r="L45" s="11"/>
      <c r="M45" s="11"/>
      <c r="N45" s="11"/>
      <c r="O45" s="11"/>
      <c r="P45" s="11"/>
      <c r="Q45" s="11"/>
      <c r="R45" s="19"/>
      <c r="S45" s="19"/>
    </row>
    <row r="46" spans="2:19" ht="30" customHeight="1" x14ac:dyDescent="0.3">
      <c r="B46" s="20" t="s">
        <v>28</v>
      </c>
      <c r="C46" s="21"/>
      <c r="D46" s="21"/>
      <c r="E46" s="21"/>
      <c r="F46" s="21"/>
      <c r="G46" s="21"/>
      <c r="H46" s="21"/>
      <c r="I46" s="22"/>
      <c r="R46" s="19"/>
      <c r="S46" s="19"/>
    </row>
    <row r="47" spans="2:19" ht="30" customHeight="1" x14ac:dyDescent="0.3">
      <c r="B47" s="23"/>
      <c r="C47" s="24"/>
      <c r="D47" s="24"/>
      <c r="E47" s="24"/>
      <c r="F47" s="24"/>
      <c r="G47" s="24"/>
      <c r="H47" s="24"/>
      <c r="I47" s="25"/>
      <c r="K47" t="s">
        <v>29</v>
      </c>
      <c r="O47" s="13"/>
      <c r="P47" s="13"/>
      <c r="Q47" s="13"/>
      <c r="R47" s="19"/>
      <c r="S47" s="19"/>
    </row>
    <row r="48" spans="2:19" ht="30" customHeight="1" x14ac:dyDescent="0.3">
      <c r="B48" s="26" t="s">
        <v>30</v>
      </c>
      <c r="C48" s="28" t="s">
        <v>31</v>
      </c>
      <c r="D48" s="29"/>
      <c r="E48" s="32" t="s">
        <v>32</v>
      </c>
      <c r="F48" s="33"/>
      <c r="G48" s="33"/>
      <c r="H48" s="33"/>
      <c r="I48" s="34"/>
      <c r="R48" s="19"/>
      <c r="S48" s="19"/>
    </row>
    <row r="49" spans="2:19" ht="30" customHeight="1" x14ac:dyDescent="0.35">
      <c r="B49" s="27"/>
      <c r="C49" s="30"/>
      <c r="D49" s="31"/>
      <c r="E49" s="35" t="s">
        <v>47</v>
      </c>
      <c r="F49" s="36"/>
      <c r="G49" s="36"/>
      <c r="H49" s="36"/>
      <c r="I49" s="37"/>
      <c r="K49" t="s">
        <v>34</v>
      </c>
      <c r="O49" s="13"/>
      <c r="P49" s="13"/>
      <c r="Q49" s="13"/>
      <c r="R49" s="19"/>
      <c r="S49" s="19"/>
    </row>
    <row r="50" spans="2:19" ht="30" customHeight="1" x14ac:dyDescent="0.3">
      <c r="B50" s="14" t="s">
        <v>21</v>
      </c>
      <c r="C50" s="16" t="s">
        <v>35</v>
      </c>
      <c r="D50" s="17"/>
      <c r="E50" s="18" t="s">
        <v>36</v>
      </c>
      <c r="F50" s="18"/>
      <c r="G50" s="18"/>
      <c r="H50" s="18"/>
      <c r="I50" s="18"/>
      <c r="R50" s="19"/>
      <c r="S50" s="19"/>
    </row>
    <row r="51" spans="2:19" ht="30" customHeight="1" x14ac:dyDescent="0.35">
      <c r="B51" s="1" t="s">
        <v>37</v>
      </c>
      <c r="C51" s="16" t="s">
        <v>38</v>
      </c>
      <c r="D51" s="17"/>
      <c r="E51" s="18" t="s">
        <v>39</v>
      </c>
      <c r="F51" s="18"/>
      <c r="G51" s="18"/>
      <c r="H51" s="18"/>
      <c r="I51" s="18"/>
      <c r="K51" t="s">
        <v>40</v>
      </c>
      <c r="O51" s="13"/>
      <c r="P51" s="13"/>
      <c r="Q51" s="13"/>
      <c r="R51" s="19"/>
      <c r="S51" s="19"/>
    </row>
    <row r="52" spans="2:19" ht="30" customHeight="1" x14ac:dyDescent="0.3">
      <c r="B52" s="14" t="s">
        <v>41</v>
      </c>
      <c r="C52" s="16" t="s">
        <v>42</v>
      </c>
      <c r="D52" s="17"/>
      <c r="E52" s="18" t="s">
        <v>43</v>
      </c>
      <c r="F52" s="18"/>
      <c r="G52" s="18"/>
      <c r="H52" s="18"/>
      <c r="I52" s="18"/>
    </row>
    <row r="53" spans="2:19" ht="30" customHeight="1" x14ac:dyDescent="0.3">
      <c r="R53" s="12"/>
      <c r="S53" s="12"/>
    </row>
    <row r="54" spans="2:19" ht="30" customHeight="1" x14ac:dyDescent="0.3"/>
    <row r="55" spans="2:19" ht="30" customHeight="1" x14ac:dyDescent="0.3">
      <c r="R55" s="13"/>
      <c r="S55" s="13"/>
    </row>
    <row r="56" spans="2:19" ht="30" customHeight="1" x14ac:dyDescent="0.3"/>
    <row r="57" spans="2:19" ht="30" customHeight="1" x14ac:dyDescent="0.3">
      <c r="R57" s="13"/>
      <c r="S57" s="13"/>
    </row>
    <row r="58" spans="2:19" ht="30" customHeight="1" x14ac:dyDescent="0.3"/>
    <row r="59" spans="2:19" ht="30" customHeight="1" x14ac:dyDescent="0.3">
      <c r="R59" s="13"/>
      <c r="S59" s="13"/>
    </row>
    <row r="60" spans="2:19" ht="30" customHeight="1" x14ac:dyDescent="0.3"/>
    <row r="61" spans="2:19" ht="30" customHeight="1" x14ac:dyDescent="0.3"/>
    <row r="62" spans="2:19" ht="30" customHeight="1" x14ac:dyDescent="0.3"/>
    <row r="63" spans="2:19" ht="30" customHeight="1" x14ac:dyDescent="0.3"/>
    <row r="64" spans="2:19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4.950000000000003" customHeight="1" x14ac:dyDescent="0.3"/>
    <row r="98" ht="34.950000000000003" customHeight="1" x14ac:dyDescent="0.3"/>
    <row r="99" ht="34.950000000000003" customHeight="1" x14ac:dyDescent="0.3"/>
    <row r="100" ht="34.950000000000003" customHeight="1" x14ac:dyDescent="0.3"/>
    <row r="101" ht="34.950000000000003" customHeight="1" x14ac:dyDescent="0.3"/>
    <row r="102" ht="34.950000000000003" customHeight="1" x14ac:dyDescent="0.3"/>
    <row r="103" ht="34.950000000000003" customHeight="1" x14ac:dyDescent="0.3"/>
    <row r="104" ht="34.950000000000003" customHeight="1" x14ac:dyDescent="0.3"/>
    <row r="105" ht="34.950000000000003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14.4" customHeight="1" x14ac:dyDescent="0.3"/>
    <row r="147" ht="14.4" customHeight="1" x14ac:dyDescent="0.3"/>
    <row r="148" ht="14.4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spans="1:20" ht="30" customHeight="1" x14ac:dyDescent="0.3"/>
    <row r="162" spans="1:20" ht="30" customHeight="1" x14ac:dyDescent="0.3"/>
    <row r="163" spans="1:20" ht="30" customHeight="1" x14ac:dyDescent="0.3"/>
    <row r="165" spans="1:20" ht="15" customHeight="1" x14ac:dyDescent="0.3"/>
    <row r="166" spans="1:20" ht="14.4" customHeight="1" x14ac:dyDescent="0.3"/>
    <row r="167" spans="1:20" s="15" customFormat="1" ht="14.4" customHeight="1" x14ac:dyDescent="0.3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s="15" customFormat="1" ht="18" x14ac:dyDescent="0.3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s="15" customFormat="1" ht="18" x14ac:dyDescent="0.3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s="15" customFormat="1" ht="18" x14ac:dyDescent="0.3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s="15" customFormat="1" ht="18" x14ac:dyDescent="0.3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s="15" customFormat="1" ht="18" x14ac:dyDescent="0.3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s="15" customFormat="1" ht="18" x14ac:dyDescent="0.3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</sheetData>
  <mergeCells count="134">
    <mergeCell ref="B5:S6"/>
    <mergeCell ref="B7:C8"/>
    <mergeCell ref="D7:E8"/>
    <mergeCell ref="F7:I8"/>
    <mergeCell ref="J7:M8"/>
    <mergeCell ref="N7:Q8"/>
    <mergeCell ref="R7:S8"/>
    <mergeCell ref="B2:F4"/>
    <mergeCell ref="G2:P2"/>
    <mergeCell ref="Q2:S2"/>
    <mergeCell ref="G3:P4"/>
    <mergeCell ref="Q3:S3"/>
    <mergeCell ref="Q4:S4"/>
    <mergeCell ref="R9:S10"/>
    <mergeCell ref="B11:C12"/>
    <mergeCell ref="D11:G12"/>
    <mergeCell ref="H11:I12"/>
    <mergeCell ref="J11:M12"/>
    <mergeCell ref="N11:O12"/>
    <mergeCell ref="P11:Q12"/>
    <mergeCell ref="R11:S12"/>
    <mergeCell ref="B9:C10"/>
    <mergeCell ref="D9:E10"/>
    <mergeCell ref="F9:I10"/>
    <mergeCell ref="J9:M10"/>
    <mergeCell ref="N9:O10"/>
    <mergeCell ref="P9:Q10"/>
    <mergeCell ref="D14:G14"/>
    <mergeCell ref="H14:I14"/>
    <mergeCell ref="J14:M14"/>
    <mergeCell ref="N14:O14"/>
    <mergeCell ref="P14:Q14"/>
    <mergeCell ref="R14:S14"/>
    <mergeCell ref="D13:G13"/>
    <mergeCell ref="H13:I13"/>
    <mergeCell ref="J13:M13"/>
    <mergeCell ref="N13:O13"/>
    <mergeCell ref="P13:Q13"/>
    <mergeCell ref="R13:S13"/>
    <mergeCell ref="D15:G15"/>
    <mergeCell ref="H15:I15"/>
    <mergeCell ref="J15:M15"/>
    <mergeCell ref="N15:O15"/>
    <mergeCell ref="P15:Q15"/>
    <mergeCell ref="R15:S15"/>
    <mergeCell ref="H16:I16"/>
    <mergeCell ref="J16:M16"/>
    <mergeCell ref="N16:O16"/>
    <mergeCell ref="P16:Q16"/>
    <mergeCell ref="R16:S16"/>
    <mergeCell ref="N19:O19"/>
    <mergeCell ref="P19:Q19"/>
    <mergeCell ref="R19:S19"/>
    <mergeCell ref="C27:D27"/>
    <mergeCell ref="E27:I27"/>
    <mergeCell ref="C28:D28"/>
    <mergeCell ref="E28:I28"/>
    <mergeCell ref="H17:I17"/>
    <mergeCell ref="J17:M17"/>
    <mergeCell ref="N17:O17"/>
    <mergeCell ref="P17:Q17"/>
    <mergeCell ref="R17:S17"/>
    <mergeCell ref="H18:I18"/>
    <mergeCell ref="J18:M18"/>
    <mergeCell ref="N18:O18"/>
    <mergeCell ref="P18:Q18"/>
    <mergeCell ref="R18:S18"/>
    <mergeCell ref="B22:I23"/>
    <mergeCell ref="B24:B25"/>
    <mergeCell ref="C24:D25"/>
    <mergeCell ref="E24:I24"/>
    <mergeCell ref="E25:I25"/>
    <mergeCell ref="C26:D26"/>
    <mergeCell ref="E26:I26"/>
    <mergeCell ref="H19:I19"/>
    <mergeCell ref="J19:M19"/>
    <mergeCell ref="Q31:S31"/>
    <mergeCell ref="G32:P33"/>
    <mergeCell ref="Q32:S32"/>
    <mergeCell ref="Q33:S33"/>
    <mergeCell ref="B34:S35"/>
    <mergeCell ref="B36:C37"/>
    <mergeCell ref="D36:E37"/>
    <mergeCell ref="F36:I37"/>
    <mergeCell ref="J36:M37"/>
    <mergeCell ref="N36:Q37"/>
    <mergeCell ref="B31:F33"/>
    <mergeCell ref="G31:P31"/>
    <mergeCell ref="B40:C41"/>
    <mergeCell ref="D40:G41"/>
    <mergeCell ref="H40:I41"/>
    <mergeCell ref="J40:M41"/>
    <mergeCell ref="N40:O41"/>
    <mergeCell ref="P40:Q41"/>
    <mergeCell ref="R36:S37"/>
    <mergeCell ref="B38:C39"/>
    <mergeCell ref="D38:E39"/>
    <mergeCell ref="F38:I39"/>
    <mergeCell ref="J38:M39"/>
    <mergeCell ref="N38:O39"/>
    <mergeCell ref="P38:Q39"/>
    <mergeCell ref="R38:S39"/>
    <mergeCell ref="D43:G43"/>
    <mergeCell ref="H43:I43"/>
    <mergeCell ref="J43:M43"/>
    <mergeCell ref="N43:O43"/>
    <mergeCell ref="P43:Q43"/>
    <mergeCell ref="R43:S43"/>
    <mergeCell ref="R40:S41"/>
    <mergeCell ref="D42:G42"/>
    <mergeCell ref="H42:I42"/>
    <mergeCell ref="J42:M42"/>
    <mergeCell ref="N42:O42"/>
    <mergeCell ref="P42:Q42"/>
    <mergeCell ref="R42:S42"/>
    <mergeCell ref="R44:S44"/>
    <mergeCell ref="R45:S45"/>
    <mergeCell ref="B46:I47"/>
    <mergeCell ref="R46:S46"/>
    <mergeCell ref="R47:S47"/>
    <mergeCell ref="B48:B49"/>
    <mergeCell ref="C48:D49"/>
    <mergeCell ref="E48:I48"/>
    <mergeCell ref="R48:S48"/>
    <mergeCell ref="E49:I49"/>
    <mergeCell ref="C52:D52"/>
    <mergeCell ref="E52:I52"/>
    <mergeCell ref="R49:S49"/>
    <mergeCell ref="C50:D50"/>
    <mergeCell ref="E50:I50"/>
    <mergeCell ref="R50:S50"/>
    <mergeCell ref="C51:D51"/>
    <mergeCell ref="E51:I51"/>
    <mergeCell ref="R51:S51"/>
  </mergeCells>
  <conditionalFormatting sqref="P13:Q19 P42:Q43">
    <cfRule type="containsText" dxfId="0" priority="1" operator="containsText" text="OK">
      <formula>NOT(ISERROR(SEARCH("OK",P13)))</formula>
    </cfRule>
  </conditionalFormatting>
  <pageMargins left="0.25" right="0.25" top="0.75" bottom="0.75" header="0.3" footer="0.3"/>
  <pageSetup scale="42" orientation="portrait" r:id="rId1"/>
  <rowBreaks count="1" manualBreakCount="1">
    <brk id="8" max="20" man="1"/>
  </rowBreaks>
  <colBreaks count="1" manualBreakCount="1">
    <brk id="9" max="5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bono por eficiencia </vt:lpstr>
      <vt:lpstr>'bono por eficiencia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NKM - 0115</dc:creator>
  <cp:lastModifiedBy>NKM - 0115</cp:lastModifiedBy>
  <cp:lastPrinted>2026-08-10T14:44:15Z</cp:lastPrinted>
  <dcterms:created xsi:type="dcterms:W3CDTF">2026-06-08T19:54:07Z</dcterms:created>
  <dcterms:modified xsi:type="dcterms:W3CDTF">2026-08-10T14:46:22Z</dcterms:modified>
</cp:coreProperties>
</file>